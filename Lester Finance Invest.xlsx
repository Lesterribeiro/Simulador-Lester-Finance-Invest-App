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a7ab93f71e7634/Documentos/DIO ME/BOOTCAMP RECLAME AQUI DADOS e IA NA PRÁTICA/Simulador de Investimentos/"/>
    </mc:Choice>
  </mc:AlternateContent>
  <xr:revisionPtr revIDLastSave="0" documentId="8_{EA99443A-8D71-456E-96C1-E85D190A4D94}" xr6:coauthVersionLast="47" xr6:coauthVersionMax="47" xr10:uidLastSave="{00000000-0000-0000-0000-000000000000}"/>
  <bookViews>
    <workbookView xWindow="11920" yWindow="210" windowWidth="12790" windowHeight="15040" xr2:uid="{C7B1EE2E-4C3E-42F0-B082-73F18E1994CB}"/>
  </bookViews>
  <sheets>
    <sheet name="Simulador" sheetId="1" r:id="rId1"/>
    <sheet name="Apoio" sheetId="4" r:id="rId2"/>
    <sheet name="Planilh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1" l="1"/>
  <c r="C22" i="1"/>
  <c r="C23" i="1"/>
  <c r="C24" i="1"/>
  <c r="C25" i="1"/>
  <c r="C21" i="1"/>
  <c r="B22" i="1"/>
  <c r="B23" i="1"/>
  <c r="B24" i="1"/>
  <c r="B25" i="1"/>
  <c r="B26" i="1"/>
  <c r="B21" i="1"/>
  <c r="B15" i="1"/>
  <c r="C15" i="1"/>
  <c r="B16" i="1"/>
  <c r="C16" i="1"/>
  <c r="B17" i="1"/>
  <c r="C17" i="1"/>
  <c r="B18" i="1"/>
  <c r="C18" i="1"/>
  <c r="C14" i="1"/>
  <c r="B14" i="1"/>
  <c r="B11" i="1"/>
  <c r="B10" i="1"/>
  <c r="B4" i="1"/>
</calcChain>
</file>

<file path=xl/sharedStrings.xml><?xml version="1.0" encoding="utf-8"?>
<sst xmlns="http://schemas.openxmlformats.org/spreadsheetml/2006/main" count="57" uniqueCount="41">
  <si>
    <t>Perfil</t>
  </si>
  <si>
    <t>Tipo Fundo</t>
  </si>
  <si>
    <t>Percentual</t>
  </si>
  <si>
    <t>Conservador</t>
  </si>
  <si>
    <t>Tijolo</t>
  </si>
  <si>
    <t>Papel</t>
  </si>
  <si>
    <t>FOF</t>
  </si>
  <si>
    <t>Moderado</t>
  </si>
  <si>
    <t>FII Agro</t>
  </si>
  <si>
    <t>Arrojado</t>
  </si>
  <si>
    <t>Chave</t>
  </si>
  <si>
    <t>CONFIGURAÇÕES DA SIMULAÇÃO</t>
  </si>
  <si>
    <t>Salário Mensal</t>
  </si>
  <si>
    <t>Sugestão de Aporte (30%)</t>
  </si>
  <si>
    <t>Aporte Mensal Desejado</t>
  </si>
  <si>
    <t>Taxa de Rendimento Mensal (%)</t>
  </si>
  <si>
    <t>Prazo (Anos)</t>
  </si>
  <si>
    <t>Perfil do Investidor</t>
  </si>
  <si>
    <t>RESULTADOS ACUMULADOS</t>
  </si>
  <si>
    <t>Patrimônio Líquido Acumulado</t>
  </si>
  <si>
    <t>Dividendos Mensais Estimados</t>
  </si>
  <si>
    <t>CENÁRIOS DE PROJEÇÃO TEMPORAL</t>
  </si>
  <si>
    <t>Cenário (Anos)</t>
  </si>
  <si>
    <t>Patrimônio Projetado</t>
  </si>
  <si>
    <t>Dividendo Projetado</t>
  </si>
  <si>
    <t>DIVISÃO DA CARTEIRA POR ATIVOS</t>
  </si>
  <si>
    <t>Tipo de Fundo</t>
  </si>
  <si>
    <t>Participação (%)</t>
  </si>
  <si>
    <t>Valor do Aporte Mensal (R$)</t>
  </si>
  <si>
    <t>Total Alocado</t>
  </si>
  <si>
    <t>SIMULADOR DE INVESTIMENTOS - LESTER FINANCE INVEST - APP</t>
  </si>
  <si>
    <t>Ações FIIs Desenvolvimento</t>
  </si>
  <si>
    <t>Conservador_Tijolo</t>
  </si>
  <si>
    <t>Conservador_Papel</t>
  </si>
  <si>
    <t>Conservador_FOF</t>
  </si>
  <si>
    <t>Moderado_Tijolo</t>
  </si>
  <si>
    <t>Moderado_Papel</t>
  </si>
  <si>
    <t>Moderado_FII Agro</t>
  </si>
  <si>
    <t>Arrojado_Tijolo</t>
  </si>
  <si>
    <t>Arrojado_Papel</t>
  </si>
  <si>
    <t>Arrojado_Ações FIIs Desenvolvimento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</si>
</sst>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2" applyFont="1"/>
    <xf numFmtId="8" fontId="0" fillId="0" borderId="0" xfId="0" applyNumberFormat="1"/>
    <xf numFmtId="0" fontId="0" fillId="2" borderId="0" xfId="0" applyFill="1"/>
    <xf numFmtId="44" fontId="0" fillId="0" borderId="0" xfId="1" applyFont="1"/>
    <xf numFmtId="0" fontId="2" fillId="0" borderId="0" xfId="0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Alocação</a:t>
            </a:r>
            <a:r>
              <a:rPr lang="en-US" baseline="0"/>
              <a:t> por Perfil de Ativos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Simulador!$B$20</c:f>
              <c:strCache>
                <c:ptCount val="1"/>
                <c:pt idx="0">
                  <c:v>Participação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Simulador!$A$21:$A$26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FOF</c:v>
                </c:pt>
                <c:pt idx="3">
                  <c:v>FII Agro</c:v>
                </c:pt>
                <c:pt idx="4">
                  <c:v>Ações FIIs Desenvolvimento</c:v>
                </c:pt>
                <c:pt idx="5">
                  <c:v>Total Alocado</c:v>
                </c:pt>
              </c:strCache>
            </c:strRef>
          </c:cat>
          <c:val>
            <c:numRef>
              <c:f>Simulador!$B$21:$B$26</c:f>
              <c:numCache>
                <c:formatCode>0%</c:formatCode>
                <c:ptCount val="6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F-4EFD-8102-C1841498242B}"/>
            </c:ext>
          </c:extLst>
        </c:ser>
        <c:ser>
          <c:idx val="1"/>
          <c:order val="1"/>
          <c:tx>
            <c:strRef>
              <c:f>Simulador!$C$20</c:f>
              <c:strCache>
                <c:ptCount val="1"/>
                <c:pt idx="0">
                  <c:v>Valor do Aporte Mensal (R$)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Simulador!$A$21:$A$26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FOF</c:v>
                </c:pt>
                <c:pt idx="3">
                  <c:v>FII Agro</c:v>
                </c:pt>
                <c:pt idx="4">
                  <c:v>Ações FIIs Desenvolvimento</c:v>
                </c:pt>
                <c:pt idx="5">
                  <c:v>Total Alocado</c:v>
                </c:pt>
              </c:strCache>
            </c:strRef>
          </c:cat>
          <c:val>
            <c:numRef>
              <c:f>Simulador!$C$21:$C$26</c:f>
              <c:numCache>
                <c:formatCode>_("R$"* #,##0.00_);_("R$"* \(#,##0.00\);_("R$"* "-"??_);_(@_)</c:formatCode>
                <c:ptCount val="6"/>
                <c:pt idx="0">
                  <c:v>2500</c:v>
                </c:pt>
                <c:pt idx="1">
                  <c:v>1500</c:v>
                </c:pt>
                <c:pt idx="2">
                  <c:v>1000</c:v>
                </c:pt>
                <c:pt idx="3">
                  <c:v>0</c:v>
                </c:pt>
                <c:pt idx="4">
                  <c:v>0</c:v>
                </c:pt>
                <c:pt idx="5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F-4EFD-8102-C18414982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935792"/>
        <c:axId val="1771936272"/>
      </c:radarChart>
      <c:catAx>
        <c:axId val="177193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1936272"/>
        <c:crosses val="autoZero"/>
        <c:auto val="1"/>
        <c:lblAlgn val="ctr"/>
        <c:lblOffset val="100"/>
        <c:noMultiLvlLbl val="0"/>
      </c:catAx>
      <c:valAx>
        <c:axId val="177193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193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168275</xdr:rowOff>
    </xdr:from>
    <xdr:to>
      <xdr:col>1</xdr:col>
      <xdr:colOff>818444</xdr:colOff>
      <xdr:row>43</xdr:row>
      <xdr:rowOff>162278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E4A1CF-1B1A-FCDA-287A-1604CA0A6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DF9C-F843-4044-9578-6AC4BE4EFBDD}">
  <dimension ref="A1:C26"/>
  <sheetViews>
    <sheetView showGridLines="0" tabSelected="1" zoomScale="90" zoomScaleNormal="90" workbookViewId="0">
      <selection activeCell="C34" sqref="C34"/>
    </sheetView>
  </sheetViews>
  <sheetFormatPr defaultRowHeight="14.5" x14ac:dyDescent="0.35"/>
  <cols>
    <col min="1" max="1" width="54.54296875" bestFit="1" customWidth="1"/>
    <col min="2" max="2" width="28.1796875" bestFit="1" customWidth="1"/>
    <col min="3" max="3" width="23.26953125" bestFit="1" customWidth="1"/>
  </cols>
  <sheetData>
    <row r="1" spans="1:3" x14ac:dyDescent="0.35">
      <c r="A1" s="5" t="s">
        <v>30</v>
      </c>
    </row>
    <row r="2" spans="1:3" x14ac:dyDescent="0.35">
      <c r="A2" t="s">
        <v>11</v>
      </c>
    </row>
    <row r="3" spans="1:3" x14ac:dyDescent="0.35">
      <c r="A3" t="s">
        <v>12</v>
      </c>
      <c r="B3" s="4">
        <v>16666.669999999998</v>
      </c>
    </row>
    <row r="4" spans="1:3" x14ac:dyDescent="0.35">
      <c r="A4" t="s">
        <v>13</v>
      </c>
      <c r="B4" s="4">
        <f>B3*0.3</f>
        <v>5000.0009999999993</v>
      </c>
    </row>
    <row r="5" spans="1:3" x14ac:dyDescent="0.35">
      <c r="A5" t="s">
        <v>14</v>
      </c>
      <c r="B5" s="4">
        <v>5000</v>
      </c>
    </row>
    <row r="6" spans="1:3" x14ac:dyDescent="0.35">
      <c r="A6" t="s">
        <v>15</v>
      </c>
      <c r="B6" s="1">
        <v>8.0000000000000002E-3</v>
      </c>
    </row>
    <row r="7" spans="1:3" x14ac:dyDescent="0.35">
      <c r="A7" t="s">
        <v>16</v>
      </c>
      <c r="B7">
        <v>15</v>
      </c>
    </row>
    <row r="8" spans="1:3" x14ac:dyDescent="0.35">
      <c r="A8" t="s">
        <v>17</v>
      </c>
      <c r="B8" t="s">
        <v>3</v>
      </c>
    </row>
    <row r="9" spans="1:3" x14ac:dyDescent="0.35">
      <c r="A9" t="s">
        <v>18</v>
      </c>
    </row>
    <row r="10" spans="1:3" x14ac:dyDescent="0.35">
      <c r="A10" t="s">
        <v>19</v>
      </c>
      <c r="B10" s="2">
        <f>FV(B6, B7*12, -B5, 0)</f>
        <v>1997864.1497482555</v>
      </c>
    </row>
    <row r="11" spans="1:3" x14ac:dyDescent="0.35">
      <c r="A11" t="s">
        <v>20</v>
      </c>
      <c r="B11" s="2">
        <f>B10*B6</f>
        <v>15982.913197986045</v>
      </c>
    </row>
    <row r="12" spans="1:3" x14ac:dyDescent="0.35">
      <c r="A12" t="s">
        <v>21</v>
      </c>
    </row>
    <row r="13" spans="1:3" x14ac:dyDescent="0.35">
      <c r="A13" t="s">
        <v>22</v>
      </c>
      <c r="B13" s="3" t="s">
        <v>23</v>
      </c>
      <c r="C13" s="3" t="s">
        <v>24</v>
      </c>
    </row>
    <row r="14" spans="1:3" x14ac:dyDescent="0.35">
      <c r="A14">
        <v>2</v>
      </c>
      <c r="B14" s="2">
        <f>FV($B$6, A14*12, -$B$5, 0)</f>
        <v>131715.77555559782</v>
      </c>
      <c r="C14" s="4">
        <f>B14*$B$6</f>
        <v>1053.7262044447825</v>
      </c>
    </row>
    <row r="15" spans="1:3" x14ac:dyDescent="0.35">
      <c r="A15">
        <v>5</v>
      </c>
      <c r="B15" s="2">
        <f t="shared" ref="B15:B18" si="0">FV($B$6, A15*12, -$B$5, 0)</f>
        <v>383119.33415940113</v>
      </c>
      <c r="C15" s="4">
        <f t="shared" ref="C15:C18" si="1">B15*$B$6</f>
        <v>3064.9546732752092</v>
      </c>
    </row>
    <row r="16" spans="1:3" x14ac:dyDescent="0.35">
      <c r="A16">
        <v>10</v>
      </c>
      <c r="B16" s="2">
        <f t="shared" si="0"/>
        <v>1001087.3470495907</v>
      </c>
      <c r="C16" s="4">
        <f t="shared" si="1"/>
        <v>8008.6987763967254</v>
      </c>
    </row>
    <row r="17" spans="1:3" x14ac:dyDescent="0.35">
      <c r="A17">
        <v>20</v>
      </c>
      <c r="B17" s="2">
        <f t="shared" si="0"/>
        <v>3605656.0963756419</v>
      </c>
      <c r="C17" s="4">
        <f t="shared" si="1"/>
        <v>28845.248771005135</v>
      </c>
    </row>
    <row r="18" spans="1:3" x14ac:dyDescent="0.35">
      <c r="A18">
        <v>30</v>
      </c>
      <c r="B18" s="2">
        <f t="shared" si="0"/>
        <v>10382066.156855427</v>
      </c>
      <c r="C18" s="4">
        <f t="shared" si="1"/>
        <v>83056.529254843423</v>
      </c>
    </row>
    <row r="19" spans="1:3" x14ac:dyDescent="0.35">
      <c r="A19" t="s">
        <v>25</v>
      </c>
    </row>
    <row r="20" spans="1:3" x14ac:dyDescent="0.35">
      <c r="A20" t="s">
        <v>26</v>
      </c>
      <c r="B20" s="3" t="s">
        <v>27</v>
      </c>
      <c r="C20" s="3" t="s">
        <v>28</v>
      </c>
    </row>
    <row r="21" spans="1:3" x14ac:dyDescent="0.35">
      <c r="A21" t="s">
        <v>4</v>
      </c>
      <c r="B21" s="1">
        <f>IF(A21="Tijolo", 0.5, IF(A21="Papel", 0.3, IF(A21="FOF", 0.2, 0)))</f>
        <v>0.5</v>
      </c>
      <c r="C21" s="4">
        <f>$B$5*B21</f>
        <v>2500</v>
      </c>
    </row>
    <row r="22" spans="1:3" x14ac:dyDescent="0.35">
      <c r="A22" t="s">
        <v>5</v>
      </c>
      <c r="B22" s="1">
        <f t="shared" ref="B22:B26" si="2">IF(A22="Tijolo", 0.5, IF(A22="Papel", 0.3, IF(A22="FOF", 0.2, 0)))</f>
        <v>0.3</v>
      </c>
      <c r="C22" s="4">
        <f t="shared" ref="C22:C26" si="3">$B$5*B22</f>
        <v>1500</v>
      </c>
    </row>
    <row r="23" spans="1:3" x14ac:dyDescent="0.35">
      <c r="A23" t="s">
        <v>6</v>
      </c>
      <c r="B23" s="1">
        <f t="shared" si="2"/>
        <v>0.2</v>
      </c>
      <c r="C23" s="4">
        <f t="shared" si="3"/>
        <v>1000</v>
      </c>
    </row>
    <row r="24" spans="1:3" x14ac:dyDescent="0.35">
      <c r="A24" t="s">
        <v>8</v>
      </c>
      <c r="B24" s="1">
        <f t="shared" si="2"/>
        <v>0</v>
      </c>
      <c r="C24" s="4">
        <f t="shared" si="3"/>
        <v>0</v>
      </c>
    </row>
    <row r="25" spans="1:3" x14ac:dyDescent="0.35">
      <c r="A25" t="s">
        <v>31</v>
      </c>
      <c r="B25" s="1">
        <f t="shared" si="2"/>
        <v>0</v>
      </c>
      <c r="C25" s="4">
        <f t="shared" si="3"/>
        <v>0</v>
      </c>
    </row>
    <row r="26" spans="1:3" x14ac:dyDescent="0.35">
      <c r="A26" t="s">
        <v>29</v>
      </c>
      <c r="B26">
        <f t="shared" si="2"/>
        <v>0</v>
      </c>
      <c r="C26" s="4">
        <f>SUM(C21:C25)</f>
        <v>5000</v>
      </c>
    </row>
  </sheetData>
  <dataValidations count="1">
    <dataValidation type="list" allowBlank="1" showInputMessage="1" showErrorMessage="1" sqref="B8" xr:uid="{3D6F60F7-8DA9-4348-BCF8-1E41B1316B81}">
      <formula1>"Conservador,Moderado,Arrojado"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85BE-98D4-41EC-94F7-FCD59EDCB471}">
  <dimension ref="A1:D10"/>
  <sheetViews>
    <sheetView topLeftCell="A7" workbookViewId="0">
      <selection activeCell="B20" sqref="B20"/>
    </sheetView>
  </sheetViews>
  <sheetFormatPr defaultRowHeight="14.5" x14ac:dyDescent="0.35"/>
  <cols>
    <col min="1" max="1" width="11.08984375" bestFit="1" customWidth="1"/>
    <col min="2" max="2" width="23.81640625" bestFit="1" customWidth="1"/>
    <col min="3" max="3" width="9.6328125" bestFit="1" customWidth="1"/>
    <col min="4" max="4" width="31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10</v>
      </c>
    </row>
    <row r="2" spans="1:4" x14ac:dyDescent="0.35">
      <c r="A2" t="s">
        <v>3</v>
      </c>
      <c r="B2" t="s">
        <v>4</v>
      </c>
      <c r="C2" s="1">
        <v>0.5</v>
      </c>
      <c r="D2" t="s">
        <v>32</v>
      </c>
    </row>
    <row r="3" spans="1:4" x14ac:dyDescent="0.35">
      <c r="A3" t="s">
        <v>3</v>
      </c>
      <c r="B3" t="s">
        <v>5</v>
      </c>
      <c r="C3" s="1">
        <v>0.3</v>
      </c>
      <c r="D3" t="s">
        <v>33</v>
      </c>
    </row>
    <row r="4" spans="1:4" x14ac:dyDescent="0.35">
      <c r="A4" t="s">
        <v>3</v>
      </c>
      <c r="B4" t="s">
        <v>6</v>
      </c>
      <c r="C4" s="1">
        <v>0.2</v>
      </c>
      <c r="D4" t="s">
        <v>34</v>
      </c>
    </row>
    <row r="5" spans="1:4" x14ac:dyDescent="0.35">
      <c r="A5" t="s">
        <v>7</v>
      </c>
      <c r="B5" t="s">
        <v>4</v>
      </c>
      <c r="C5" s="1">
        <v>0.4</v>
      </c>
      <c r="D5" t="s">
        <v>35</v>
      </c>
    </row>
    <row r="6" spans="1:4" x14ac:dyDescent="0.35">
      <c r="A6" t="s">
        <v>7</v>
      </c>
      <c r="B6" t="s">
        <v>5</v>
      </c>
      <c r="C6" s="1">
        <v>0.4</v>
      </c>
      <c r="D6" t="s">
        <v>36</v>
      </c>
    </row>
    <row r="7" spans="1:4" x14ac:dyDescent="0.35">
      <c r="A7" t="s">
        <v>7</v>
      </c>
      <c r="B7" t="s">
        <v>8</v>
      </c>
      <c r="C7" s="1">
        <v>0.2</v>
      </c>
      <c r="D7" t="s">
        <v>37</v>
      </c>
    </row>
    <row r="8" spans="1:4" x14ac:dyDescent="0.35">
      <c r="A8" t="s">
        <v>9</v>
      </c>
      <c r="B8" t="s">
        <v>4</v>
      </c>
      <c r="C8" s="1">
        <v>0.2</v>
      </c>
      <c r="D8" t="s">
        <v>38</v>
      </c>
    </row>
    <row r="9" spans="1:4" x14ac:dyDescent="0.35">
      <c r="A9" t="s">
        <v>9</v>
      </c>
      <c r="B9" t="s">
        <v>5</v>
      </c>
      <c r="C9" s="1">
        <v>0.3</v>
      </c>
      <c r="D9" t="s">
        <v>39</v>
      </c>
    </row>
    <row r="10" spans="1:4" x14ac:dyDescent="0.35">
      <c r="A10" t="s">
        <v>9</v>
      </c>
      <c r="B10" t="s">
        <v>31</v>
      </c>
      <c r="C10" s="1">
        <v>0.5</v>
      </c>
      <c r="D10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A8E1-61EA-459E-A764-8EE5D16B2DAC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Simulador</vt:lpstr>
      <vt:lpstr>Apoio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 RIBEIRO</dc:creator>
  <cp:lastModifiedBy>LESTER RIBEIRO</cp:lastModifiedBy>
  <dcterms:created xsi:type="dcterms:W3CDTF">2026-10-20T20:09:57Z</dcterms:created>
  <dcterms:modified xsi:type="dcterms:W3CDTF">2026-10-20T21:49:49Z</dcterms:modified>
</cp:coreProperties>
</file>